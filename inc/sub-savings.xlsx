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6039186-F1F9-4925-9758-A0832D4CF86A}" xr6:coauthVersionLast="47" xr6:coauthVersionMax="47" xr10:uidLastSave="{00000000-0000-0000-0000-000000000000}"/>
  <bookViews>
    <workbookView xWindow="-108" yWindow="-108" windowWidth="23256" windowHeight="12456" xr2:uid="{8EB8CA2A-883D-4970-BA1A-EC03E2A95B25}"/>
  </bookViews>
  <sheets>
    <sheet name="Discount Savings Table" sheetId="1" r:id="rId1"/>
  </sheets>
  <definedNames>
    <definedName name="Slicer_Streaming_Servi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1" l="1"/>
  <c r="D15" i="1"/>
  <c r="E15" i="1" s="1"/>
  <c r="D17" i="1"/>
  <c r="F17" i="1" s="1"/>
  <c r="D18" i="1"/>
  <c r="E18" i="1" s="1"/>
  <c r="E16" i="1"/>
  <c r="F16" i="1"/>
  <c r="E9" i="1"/>
  <c r="F9" i="1"/>
  <c r="D8" i="1"/>
  <c r="E8" i="1" s="1"/>
  <c r="D3" i="1"/>
  <c r="E3" i="1" s="1"/>
  <c r="D4" i="1"/>
  <c r="E4" i="1" s="1"/>
  <c r="D5" i="1"/>
  <c r="E7" i="1"/>
  <c r="D14" i="1"/>
  <c r="E14" i="1" s="1"/>
  <c r="D13" i="1"/>
  <c r="E13" i="1" s="1"/>
  <c r="D12" i="1"/>
  <c r="C12" i="1" s="1"/>
  <c r="C19" i="1" s="1"/>
  <c r="F13" i="1" l="1"/>
  <c r="D19" i="1"/>
  <c r="F18" i="1"/>
  <c r="F15" i="1"/>
  <c r="E17" i="1"/>
  <c r="F14" i="1"/>
  <c r="F7" i="1"/>
  <c r="F4" i="1"/>
  <c r="F8" i="1"/>
  <c r="F3" i="1"/>
  <c r="E12" i="1"/>
  <c r="F12" i="1"/>
  <c r="E19" i="1" l="1"/>
  <c r="F19" i="1"/>
</calcChain>
</file>

<file path=xl/sharedStrings.xml><?xml version="1.0" encoding="utf-8"?>
<sst xmlns="http://schemas.openxmlformats.org/spreadsheetml/2006/main" count="27" uniqueCount="27">
  <si>
    <t>Streaming Service</t>
  </si>
  <si>
    <t>Standard Monthly Price</t>
  </si>
  <si>
    <t>Student Monthly Price</t>
  </si>
  <si>
    <t>Savings per Month</t>
  </si>
  <si>
    <t>Savings Over 2 Years</t>
  </si>
  <si>
    <t>Savings Over 4 Years</t>
  </si>
  <si>
    <t>Hulu (With Ads)</t>
  </si>
  <si>
    <t>YouTube Premium</t>
  </si>
  <si>
    <t>Paramount+ (Essential)</t>
  </si>
  <si>
    <t>Disney+</t>
  </si>
  <si>
    <t>Max (HBO)</t>
  </si>
  <si>
    <t>Peacock</t>
  </si>
  <si>
    <t>Spotify</t>
  </si>
  <si>
    <t>Pandora Premium</t>
  </si>
  <si>
    <t>Savings calculated at 4 free whoppers per year @$6.99 each and $20 spent a month at BK.</t>
  </si>
  <si>
    <t>Based on $100/month spending</t>
  </si>
  <si>
    <t xml:space="preserve"> </t>
  </si>
  <si>
    <t>Walmart+ Includes:</t>
  </si>
  <si>
    <t>Amazon Prime (Prime Student)- 6 months free, then $7.49 a month) Includes:</t>
  </si>
  <si>
    <t xml:space="preserve"> Spotify- + Free Hulu</t>
  </si>
  <si>
    <t>Walmart-  +Paramount or Peacock free</t>
  </si>
  <si>
    <t>Walmart-  +Burger King 25% off digital orders + free whopper every 3 months</t>
  </si>
  <si>
    <t>Amazon- +Grubhub+ Thru Amazon</t>
  </si>
  <si>
    <t>Amazon- +5% Cash Back on purchases</t>
  </si>
  <si>
    <t>Apple Music Includes Apple TV</t>
  </si>
  <si>
    <t>Total</t>
  </si>
  <si>
    <t>Student Subscription Discount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</si>
</sst>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Calibri"/>
      <family val="2"/>
      <scheme val="minor"/>
    </font>
    <font>
      <b/>
      <sz val="11"/>
      <color theme="1"/>
      <name val="Calibri"/>
      <family val="2"/>
      <scheme val="minor"/>
    </font>
    <font>
      <u/>
      <sz val="11"/>
      <color theme="10"/>
      <name val="Calibri"/>
      <family val="2"/>
      <scheme val="minor"/>
    </font>
    <font>
      <b/>
      <sz val="10"/>
      <color theme="1"/>
      <name val="Calibri"/>
      <family val="2"/>
      <scheme val="minor"/>
    </font>
    <font>
      <sz val="10"/>
      <color theme="1"/>
      <name val="Calibri"/>
      <family val="2"/>
      <scheme val="minor"/>
    </font>
    <font>
      <b/>
      <u/>
      <sz val="11"/>
      <color theme="10"/>
      <name val="Calibri"/>
      <family val="2"/>
      <scheme val="minor"/>
    </font>
    <font>
      <sz val="8"/>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1" fillId="0" borderId="0" xfId="0" applyFont="1"/>
    <xf numFmtId="0" fontId="4" fillId="0" borderId="1" xfId="0" applyFont="1" applyBorder="1"/>
    <xf numFmtId="0" fontId="1" fillId="0" borderId="1" xfId="0" applyFont="1" applyBorder="1"/>
    <xf numFmtId="0" fontId="0" fillId="0" borderId="1" xfId="0" applyBorder="1"/>
    <xf numFmtId="0" fontId="5" fillId="0" borderId="1" xfId="1" applyFont="1" applyBorder="1"/>
    <xf numFmtId="0" fontId="3" fillId="0" borderId="3" xfId="0" applyFont="1" applyBorder="1" applyAlignment="1">
      <alignment vertical="center" wrapText="1"/>
    </xf>
    <xf numFmtId="0" fontId="3" fillId="0" borderId="4" xfId="0" applyFont="1" applyBorder="1" applyAlignment="1">
      <alignment vertical="center" wrapText="1"/>
    </xf>
    <xf numFmtId="0" fontId="3" fillId="2" borderId="3" xfId="0" applyFont="1" applyFill="1" applyBorder="1" applyAlignment="1">
      <alignment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vertical="center" wrapText="1"/>
    </xf>
    <xf numFmtId="44" fontId="4" fillId="0" borderId="1" xfId="0" applyNumberFormat="1" applyFont="1" applyBorder="1" applyAlignment="1">
      <alignment vertical="center" wrapText="1"/>
    </xf>
    <xf numFmtId="44" fontId="4" fillId="0" borderId="5" xfId="0" applyNumberFormat="1" applyFont="1" applyBorder="1" applyAlignment="1">
      <alignment vertical="center" wrapText="1"/>
    </xf>
    <xf numFmtId="44" fontId="4" fillId="0" borderId="2" xfId="0" applyNumberFormat="1" applyFont="1" applyBorder="1" applyAlignment="1">
      <alignment vertical="center" wrapText="1"/>
    </xf>
    <xf numFmtId="44" fontId="4" fillId="0" borderId="6" xfId="0" applyNumberFormat="1" applyFont="1" applyBorder="1" applyAlignment="1">
      <alignment vertical="center" wrapText="1"/>
    </xf>
    <xf numFmtId="44" fontId="4" fillId="2" borderId="1" xfId="0" applyNumberFormat="1" applyFont="1" applyFill="1" applyBorder="1" applyAlignment="1">
      <alignment vertical="center" wrapText="1"/>
    </xf>
    <xf numFmtId="44" fontId="4" fillId="2" borderId="5" xfId="0" applyNumberFormat="1" applyFont="1" applyFill="1" applyBorder="1" applyAlignment="1">
      <alignment vertical="center" wrapText="1"/>
    </xf>
    <xf numFmtId="44" fontId="4" fillId="0" borderId="8" xfId="0" applyNumberFormat="1" applyFont="1" applyBorder="1" applyAlignment="1">
      <alignment vertical="center" wrapText="1"/>
    </xf>
    <xf numFmtId="44" fontId="4" fillId="0" borderId="9" xfId="0" applyNumberFormat="1" applyFont="1" applyBorder="1" applyAlignment="1">
      <alignment vertical="center" wrapText="1"/>
    </xf>
    <xf numFmtId="44" fontId="4" fillId="0" borderId="8" xfId="0" applyNumberFormat="1" applyFont="1" applyBorder="1"/>
    <xf numFmtId="44" fontId="6" fillId="0" borderId="1" xfId="0" applyNumberFormat="1" applyFont="1" applyBorder="1" applyAlignment="1">
      <alignment vertical="center"/>
    </xf>
    <xf numFmtId="0" fontId="6" fillId="0" borderId="3" xfId="0" applyFont="1" applyBorder="1" applyAlignment="1">
      <alignment horizontal="left" vertical="center" wrapText="1" indent="1"/>
    </xf>
    <xf numFmtId="0" fontId="6" fillId="3" borderId="3" xfId="0" applyFont="1" applyFill="1" applyBorder="1" applyAlignment="1">
      <alignment horizontal="left" vertical="center" wrapText="1" indent="1"/>
    </xf>
    <xf numFmtId="44" fontId="4" fillId="3" borderId="1" xfId="0" applyNumberFormat="1" applyFont="1" applyFill="1" applyBorder="1"/>
    <xf numFmtId="44" fontId="4" fillId="3" borderId="1" xfId="0" applyNumberFormat="1" applyFont="1" applyFill="1" applyBorder="1" applyAlignment="1">
      <alignment vertical="center" wrapText="1"/>
    </xf>
    <xf numFmtId="44" fontId="4" fillId="3" borderId="5" xfId="0" applyNumberFormat="1" applyFont="1" applyFill="1" applyBorder="1" applyAlignment="1">
      <alignment vertical="center" wrapText="1"/>
    </xf>
    <xf numFmtId="0" fontId="0" fillId="3" borderId="0" xfId="0" applyFill="1"/>
    <xf numFmtId="44" fontId="0" fillId="0" borderId="0" xfId="0" applyNumberFormat="1"/>
    <xf numFmtId="0" fontId="1" fillId="0" borderId="2" xfId="0" applyFont="1" applyBorder="1"/>
    <xf numFmtId="0" fontId="0" fillId="0" borderId="2" xfId="0" applyBorder="1"/>
    <xf numFmtId="0" fontId="3" fillId="0" borderId="13" xfId="0" applyFont="1" applyBorder="1" applyAlignment="1">
      <alignment vertical="center" wrapText="1"/>
    </xf>
    <xf numFmtId="44" fontId="4" fillId="0" borderId="13" xfId="0" applyNumberFormat="1" applyFont="1" applyBorder="1" applyAlignment="1">
      <alignment horizontal="center"/>
    </xf>
    <xf numFmtId="44" fontId="4" fillId="0" borderId="13" xfId="0" applyNumberFormat="1" applyFont="1" applyBorder="1" applyAlignment="1">
      <alignment horizontal="center" vertical="center" wrapText="1"/>
    </xf>
    <xf numFmtId="44" fontId="4" fillId="0" borderId="13" xfId="0" applyNumberFormat="1" applyFont="1" applyBorder="1" applyAlignment="1">
      <alignment vertical="center" wrapText="1"/>
    </xf>
    <xf numFmtId="44" fontId="4" fillId="0" borderId="14" xfId="0" applyNumberFormat="1" applyFont="1" applyBorder="1" applyAlignment="1">
      <alignment vertical="center" wrapText="1"/>
    </xf>
    <xf numFmtId="44" fontId="4" fillId="0" borderId="11" xfId="0" applyNumberFormat="1" applyFont="1" applyBorder="1" applyAlignment="1">
      <alignment vertical="center" wrapText="1"/>
    </xf>
    <xf numFmtId="44" fontId="0" fillId="0" borderId="12" xfId="0" applyNumberFormat="1" applyBorder="1"/>
    <xf numFmtId="0" fontId="7"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 xfId="0" applyFont="1" applyBorder="1" applyAlignment="1">
      <alignment horizontal="center" vertical="center" wrapText="1"/>
    </xf>
  </cellXfs>
  <cellStyles count="2">
    <cellStyle name="Hyperlink" xfId="1" builtinId="8"/>
    <cellStyle name="Normal" xfId="0" builtinId="0"/>
  </cellStyles>
  <dxfs count="11">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0"/>
        <color theme="1"/>
        <name val="Calibri"/>
        <family val="2"/>
        <scheme val="minor"/>
      </font>
      <numFmt numFmtId="34" formatCode="_(&quot;$&quot;* #,##0.00_);_(&quot;$&quot;* \(#,##0.00\);_(&quot;$&quot;* &quot;-&quot;??_);_(@_)"/>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numFmt numFmtId="34" formatCode="_(&quot;$&quot;* #,##0.00_);_(&quot;$&quot;* \(#,##0.00\);_(&quot;$&quot;*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numFmt numFmtId="34" formatCode="_(&quot;$&quot;* #,##0.00_);_(&quot;$&quot;* \(#,##0.00\);_(&quot;$&quot;*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bottom/>
      </border>
    </dxf>
    <dxf>
      <border outline="0">
        <right style="thin">
          <color indexed="64"/>
        </right>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xdr:col>
      <xdr:colOff>19050</xdr:colOff>
      <xdr:row>1</xdr:row>
      <xdr:rowOff>0</xdr:rowOff>
    </xdr:from>
    <xdr:to>
      <xdr:col>8</xdr:col>
      <xdr:colOff>561975</xdr:colOff>
      <xdr:row>25</xdr:row>
      <xdr:rowOff>114300</xdr:rowOff>
    </xdr:to>
    <mc:AlternateContent xmlns:mc="http://schemas.openxmlformats.org/markup-compatibility/2006" xmlns:sle15="http://schemas.microsoft.com/office/drawing/2012/slicer">
      <mc:Choice Requires="sle15">
        <xdr:graphicFrame macro="">
          <xdr:nvGraphicFramePr>
            <xdr:cNvPr id="2" name="Streaming Service">
              <a:extLst>
                <a:ext uri="{FF2B5EF4-FFF2-40B4-BE49-F238E27FC236}">
                  <a16:creationId xmlns:a16="http://schemas.microsoft.com/office/drawing/2014/main" id="{0AEEF55B-697A-2F4D-D45B-EDD14D31F4BC}"/>
                </a:ext>
              </a:extLst>
            </xdr:cNvPr>
            <xdr:cNvGraphicFramePr/>
          </xdr:nvGraphicFramePr>
          <xdr:xfrm>
            <a:off x="0" y="0"/>
            <a:ext cx="0" cy="0"/>
          </xdr:xfrm>
          <a:graphic>
            <a:graphicData uri="http://schemas.microsoft.com/office/drawing/2010/slicer">
              <sle:slicer xmlns:sle="http://schemas.microsoft.com/office/drawing/2010/slicer" name="Streaming Service"/>
            </a:graphicData>
          </a:graphic>
        </xdr:graphicFrame>
      </mc:Choice>
      <mc:Fallback xmlns="">
        <xdr:sp macro="" textlink="">
          <xdr:nvSpPr>
            <xdr:cNvPr id="0" name=""/>
            <xdr:cNvSpPr>
              <a:spLocks noTextEdit="1"/>
            </xdr:cNvSpPr>
          </xdr:nvSpPr>
          <xdr:spPr>
            <a:xfrm>
              <a:off x="9248775" y="457200"/>
              <a:ext cx="1809750" cy="54006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Service" xr10:uid="{FB3A4020-7BC3-4BD0-8B4A-BB508835D619}" sourceName="Streaming Servic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ing Service" xr10:uid="{FCC7A3A5-D952-4F8F-AD7F-C26D040191FC}" cache="Slicer_Streaming_Service" caption="Streaming Servi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BBC79-5130-40FA-AED0-847F5A1D4112}" name="Table1" displayName="Table1" ref="A2:F19" totalsRowCount="1" headerRowDxfId="10" headerRowBorderDxfId="9" tableBorderDxfId="8">
  <autoFilter ref="A2:F18" xr:uid="{FF8BBC79-5130-40FA-AED0-847F5A1D4112}"/>
  <tableColumns count="6">
    <tableColumn id="1" xr3:uid="{FBA5CF7C-6170-4E50-88E5-39E02E21CB8F}" name="Streaming Service" totalsRowLabel="Total"/>
    <tableColumn id="2" xr3:uid="{B23E1C00-F13F-4D5F-A08D-F29C5B73149B}" name="Standard Monthly Price" totalsRowFunction="sum"/>
    <tableColumn id="3" xr3:uid="{817E225B-3AC0-4230-BE97-34552F844507}" name="Student Monthly Price" totalsRowFunction="sum" dataDxfId="7" totalsRowDxfId="6"/>
    <tableColumn id="4" xr3:uid="{BE6D289C-C43C-4FFE-BDD3-659308D2613B}" name="Savings per Month" totalsRowFunction="sum" dataDxfId="5" totalsRowDxfId="4">
      <calculatedColumnFormula>B3-C3</calculatedColumnFormula>
    </tableColumn>
    <tableColumn id="5" xr3:uid="{397CFEDF-1E9B-4438-A40E-7F7CAD0FD6B1}" name="Savings Over 2 Years" totalsRowFunction="sum" dataDxfId="3" totalsRowDxfId="2">
      <calculatedColumnFormula>D3*$E$1</calculatedColumnFormula>
    </tableColumn>
    <tableColumn id="6" xr3:uid="{4754C63F-2982-4435-9214-787CE543924E}" name="Savings Over 4 Years" totalsRowFunction="sum" dataDxfId="1" totalsRowDxfId="0">
      <calculatedColumnFormula>D3*$F$1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0E01-0AE7-4BD7-8E13-D68A29534691}">
  <sheetPr>
    <tabColor theme="4"/>
  </sheetPr>
  <dimension ref="A1:J47"/>
  <sheetViews>
    <sheetView tabSelected="1" workbookViewId="0">
      <pane ySplit="1" topLeftCell="A2" activePane="bottomLeft" state="frozen"/>
      <selection pane="bottomLeft" activeCell="D5" sqref="D5"/>
    </sheetView>
  </sheetViews>
  <sheetFormatPr defaultRowHeight="14.4" x14ac:dyDescent="0.3"/>
  <cols>
    <col min="1" max="1" width="40.44140625" style="3" customWidth="1"/>
    <col min="2" max="2" width="21.44140625" style="4" customWidth="1"/>
    <col min="3" max="3" width="20.6640625" style="4" customWidth="1"/>
    <col min="4" max="4" width="17.5546875" style="4" customWidth="1"/>
    <col min="5" max="6" width="19.109375" style="4" customWidth="1"/>
  </cols>
  <sheetData>
    <row r="1" spans="1:10" ht="36.6" x14ac:dyDescent="0.3">
      <c r="A1" s="39" t="s">
        <v>26</v>
      </c>
      <c r="B1" s="40"/>
      <c r="C1" s="40"/>
      <c r="D1" s="41"/>
      <c r="E1" s="2">
        <v>24</v>
      </c>
      <c r="F1" s="2">
        <v>48</v>
      </c>
    </row>
    <row r="2" spans="1:10" s="1" customFormat="1" x14ac:dyDescent="0.3">
      <c r="A2" s="9" t="s">
        <v>0</v>
      </c>
      <c r="B2" s="10" t="s">
        <v>1</v>
      </c>
      <c r="C2" s="10" t="s">
        <v>2</v>
      </c>
      <c r="D2" s="10" t="s">
        <v>3</v>
      </c>
      <c r="E2" s="10" t="s">
        <v>4</v>
      </c>
      <c r="F2" s="11" t="s">
        <v>5</v>
      </c>
    </row>
    <row r="3" spans="1:10" x14ac:dyDescent="0.3">
      <c r="A3" s="6" t="s">
        <v>6</v>
      </c>
      <c r="B3" s="13">
        <v>7.99</v>
      </c>
      <c r="C3" s="13">
        <v>1.99</v>
      </c>
      <c r="D3" s="13">
        <f>B3-C3</f>
        <v>6</v>
      </c>
      <c r="E3" s="13">
        <f>D3*$E$1</f>
        <v>144</v>
      </c>
      <c r="F3" s="14">
        <f>D3*$F$1</f>
        <v>288</v>
      </c>
    </row>
    <row r="4" spans="1:10" x14ac:dyDescent="0.3">
      <c r="A4" s="6" t="s">
        <v>7</v>
      </c>
      <c r="B4" s="13">
        <v>13.99</v>
      </c>
      <c r="C4" s="13">
        <v>7.99</v>
      </c>
      <c r="D4" s="13">
        <f>B4-C4</f>
        <v>6</v>
      </c>
      <c r="E4" s="13">
        <f>D4*$E$1</f>
        <v>144</v>
      </c>
      <c r="F4" s="13">
        <f>D4*$F$1</f>
        <v>288</v>
      </c>
    </row>
    <row r="5" spans="1:10" ht="27.6" x14ac:dyDescent="0.3">
      <c r="A5" s="6" t="s">
        <v>18</v>
      </c>
      <c r="B5" s="13">
        <v>14.99</v>
      </c>
      <c r="C5" s="13">
        <v>7.49</v>
      </c>
      <c r="D5" s="13">
        <f>B5-C5</f>
        <v>7.5</v>
      </c>
      <c r="E5" s="13">
        <v>224.94</v>
      </c>
      <c r="F5" s="13">
        <v>404.94</v>
      </c>
    </row>
    <row r="6" spans="1:10" x14ac:dyDescent="0.3">
      <c r="A6" s="23" t="s">
        <v>23</v>
      </c>
      <c r="B6" s="22" t="s">
        <v>15</v>
      </c>
      <c r="C6" s="13"/>
      <c r="D6" s="13"/>
      <c r="E6" s="13">
        <v>120</v>
      </c>
      <c r="F6" s="13">
        <v>240</v>
      </c>
      <c r="J6" t="s">
        <v>16</v>
      </c>
    </row>
    <row r="7" spans="1:10" x14ac:dyDescent="0.3">
      <c r="A7" s="23" t="s">
        <v>22</v>
      </c>
      <c r="B7" s="13"/>
      <c r="C7" s="13"/>
      <c r="D7" s="13">
        <v>9.99</v>
      </c>
      <c r="E7" s="13">
        <f>D7*$E$1</f>
        <v>239.76</v>
      </c>
      <c r="F7" s="13">
        <f>D7*$F$1</f>
        <v>479.52</v>
      </c>
    </row>
    <row r="8" spans="1:10" x14ac:dyDescent="0.3">
      <c r="A8" s="7" t="s">
        <v>17</v>
      </c>
      <c r="B8" s="15">
        <v>8.17</v>
      </c>
      <c r="C8" s="15">
        <v>6.47</v>
      </c>
      <c r="D8" s="15">
        <f>B8-C8</f>
        <v>1.7000000000000002</v>
      </c>
      <c r="E8" s="15">
        <f>D8*$E$1</f>
        <v>40.800000000000004</v>
      </c>
      <c r="F8" s="16">
        <f>D8*$F$1</f>
        <v>81.600000000000009</v>
      </c>
    </row>
    <row r="9" spans="1:10" x14ac:dyDescent="0.3">
      <c r="A9" s="23" t="s">
        <v>20</v>
      </c>
      <c r="B9" s="13"/>
      <c r="C9" s="13"/>
      <c r="D9" s="13">
        <v>3.99</v>
      </c>
      <c r="E9" s="13">
        <f>D9*$E$1</f>
        <v>95.76</v>
      </c>
      <c r="F9" s="14">
        <f>D9*$F$1</f>
        <v>191.52</v>
      </c>
    </row>
    <row r="10" spans="1:10" ht="20.399999999999999" x14ac:dyDescent="0.3">
      <c r="A10" s="23" t="s">
        <v>21</v>
      </c>
      <c r="B10" s="22" t="s">
        <v>14</v>
      </c>
      <c r="C10" s="13"/>
      <c r="D10" s="13"/>
      <c r="E10" s="13">
        <v>175.92</v>
      </c>
      <c r="F10" s="14">
        <v>351.84</v>
      </c>
    </row>
    <row r="11" spans="1:10" x14ac:dyDescent="0.3">
      <c r="A11" s="7" t="s">
        <v>8</v>
      </c>
      <c r="B11" s="15">
        <v>5.99</v>
      </c>
      <c r="C11" s="15">
        <v>3.99</v>
      </c>
      <c r="D11" s="15">
        <v>2</v>
      </c>
      <c r="E11" s="15">
        <v>48</v>
      </c>
      <c r="F11" s="16">
        <v>96</v>
      </c>
    </row>
    <row r="12" spans="1:10" x14ac:dyDescent="0.3">
      <c r="A12" s="6" t="s">
        <v>9</v>
      </c>
      <c r="B12" s="13">
        <v>7.99</v>
      </c>
      <c r="C12" s="13">
        <f>B12-D12</f>
        <v>6.791500000000001</v>
      </c>
      <c r="D12" s="13">
        <f>(B12*1.15)-B12</f>
        <v>1.1984999999999992</v>
      </c>
      <c r="E12" s="13">
        <f>D12*$E$1</f>
        <v>28.763999999999982</v>
      </c>
      <c r="F12" s="14">
        <f>D12*$F$1</f>
        <v>57.527999999999963</v>
      </c>
    </row>
    <row r="13" spans="1:10" x14ac:dyDescent="0.3">
      <c r="A13" s="6" t="s">
        <v>10</v>
      </c>
      <c r="B13" s="13">
        <v>9.99</v>
      </c>
      <c r="C13" s="13">
        <v>5.49</v>
      </c>
      <c r="D13" s="13">
        <f>B13-C13</f>
        <v>4.5</v>
      </c>
      <c r="E13" s="13">
        <f>D13*$E$1</f>
        <v>108</v>
      </c>
      <c r="F13" s="14">
        <f>D13*$F$1</f>
        <v>216</v>
      </c>
    </row>
    <row r="14" spans="1:10" x14ac:dyDescent="0.3">
      <c r="A14" s="6" t="s">
        <v>11</v>
      </c>
      <c r="B14" s="13">
        <v>7.99</v>
      </c>
      <c r="C14" s="13">
        <v>2.99</v>
      </c>
      <c r="D14" s="13">
        <f>B14-C14</f>
        <v>5</v>
      </c>
      <c r="E14" s="13">
        <f>D14*$E$1</f>
        <v>120</v>
      </c>
      <c r="F14" s="14">
        <f>D14*$F$1</f>
        <v>240</v>
      </c>
    </row>
    <row r="15" spans="1:10" x14ac:dyDescent="0.3">
      <c r="A15" s="8" t="s">
        <v>12</v>
      </c>
      <c r="B15" s="17">
        <v>12.99</v>
      </c>
      <c r="C15" s="17">
        <v>5.99</v>
      </c>
      <c r="D15" s="17">
        <f>B15-C15</f>
        <v>7</v>
      </c>
      <c r="E15" s="17">
        <f>D15*$E$1</f>
        <v>168</v>
      </c>
      <c r="F15" s="18">
        <f>D15*$F$1</f>
        <v>336</v>
      </c>
    </row>
    <row r="16" spans="1:10" x14ac:dyDescent="0.3">
      <c r="A16" s="24" t="s">
        <v>19</v>
      </c>
      <c r="B16" s="25"/>
      <c r="C16" s="26"/>
      <c r="D16" s="25">
        <v>1.99</v>
      </c>
      <c r="E16" s="26">
        <f>D16*$E$1</f>
        <v>47.76</v>
      </c>
      <c r="F16" s="27">
        <f>D16*$F$1</f>
        <v>95.52</v>
      </c>
    </row>
    <row r="17" spans="1:6" x14ac:dyDescent="0.3">
      <c r="A17" s="6" t="s">
        <v>24</v>
      </c>
      <c r="B17" s="13">
        <v>10.99</v>
      </c>
      <c r="C17" s="13">
        <v>5.99</v>
      </c>
      <c r="D17" s="13">
        <f>B17-C17</f>
        <v>5</v>
      </c>
      <c r="E17" s="13">
        <f>D17*$E$1</f>
        <v>120</v>
      </c>
      <c r="F17" s="14">
        <f>D17*$F$1</f>
        <v>240</v>
      </c>
    </row>
    <row r="18" spans="1:6" s="28" customFormat="1" x14ac:dyDescent="0.3">
      <c r="A18" s="12" t="s">
        <v>13</v>
      </c>
      <c r="B18" s="21">
        <v>9.99</v>
      </c>
      <c r="C18" s="19">
        <v>5.99</v>
      </c>
      <c r="D18" s="19">
        <f>B18-C18</f>
        <v>4</v>
      </c>
      <c r="E18" s="19">
        <f>D18*$E$1</f>
        <v>96</v>
      </c>
      <c r="F18" s="20">
        <f>D18*$F$1</f>
        <v>192</v>
      </c>
    </row>
    <row r="19" spans="1:6" ht="15" thickBot="1" x14ac:dyDescent="0.35">
      <c r="A19" t="s">
        <v>25</v>
      </c>
      <c r="B19" s="29">
        <f>SUBTOTAL(109,Table1[Standard Monthly Price])</f>
        <v>111.06999999999998</v>
      </c>
      <c r="C19" s="38">
        <f>SUBTOTAL(109,Table1[Student Monthly Price])</f>
        <v>61.171500000000009</v>
      </c>
      <c r="D19" s="36">
        <f>SUBTOTAL(109,Table1[Savings per Month])</f>
        <v>65.868500000000012</v>
      </c>
      <c r="E19" s="36">
        <f>SUBTOTAL(109,Table1[Savings Over 2 Years])</f>
        <v>1921.704</v>
      </c>
      <c r="F19" s="37">
        <f>SUBTOTAL(109,Table1[Savings Over 4 Years])</f>
        <v>3798.4679999999998</v>
      </c>
    </row>
    <row r="20" spans="1:6" ht="15" thickTop="1" x14ac:dyDescent="0.3">
      <c r="A20" s="32"/>
      <c r="B20" s="33"/>
      <c r="C20" s="34"/>
      <c r="D20" s="34"/>
      <c r="E20" s="35"/>
      <c r="F20" s="35"/>
    </row>
    <row r="21" spans="1:6" x14ac:dyDescent="0.3">
      <c r="A21" s="30"/>
      <c r="B21" s="31"/>
      <c r="C21" s="31"/>
      <c r="D21" s="31"/>
      <c r="E21" s="31"/>
      <c r="F21" s="31"/>
    </row>
    <row r="47" spans="1:1" x14ac:dyDescent="0.3">
      <c r="A47" s="5"/>
    </row>
  </sheetData>
  <mergeCells count="1">
    <mergeCell ref="A1:D1"/>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7EA2DA-9BE0-4467-8FD5-628B366E58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Discount Savings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Taylor</dc:creator>
  <cp:lastModifiedBy>Chris Grasser</cp:lastModifiedBy>
  <dcterms:created xsi:type="dcterms:W3CDTF">2026-02-06T18:56:50Z</dcterms:created>
  <dcterms:modified xsi:type="dcterms:W3CDTF">2026-03-06T19:01:54Z</dcterms:modified>
</cp:coreProperties>
</file>